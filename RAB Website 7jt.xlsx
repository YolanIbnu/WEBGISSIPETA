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 Website" sheetId="1" state="visible" r:id="rId3"/>
  </sheets>
  <definedNames>
    <definedName function="false" hidden="false" localSheetId="0" name="_xlnm.Print_Area" vbProcedure="false">'RAB Website'!$A$1:$G$85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<sst xmlns="http://schemas.openxmlformats.org/spreadsheetml/2006/main" count="227" uniqueCount="175">
  <si>
    <t xml:space="preserve">RENCANA ANGGARAN BIAYA (RAB)</t>
  </si>
  <si>
    <t xml:space="preserve">JASA PEMBUATAN WEBSITE COMPANY PROFILE — NEXT.JS</t>
  </si>
  <si>
    <t xml:space="preserve">Klien</t>
  </si>
  <si>
    <t xml:space="preserve">[Nama Perusahaan]</t>
  </si>
  <si>
    <t xml:space="preserve">Kontak</t>
  </si>
  <si>
    <t xml:space="preserve">[Nama PIC / No. HP]</t>
  </si>
  <si>
    <t xml:space="preserve">Tanggal</t>
  </si>
  <si>
    <t xml:space="preserve">April 2026</t>
  </si>
  <si>
    <t xml:space="preserve">Berlaku s/d</t>
  </si>
  <si>
    <t xml:space="preserve">30 hari dari tanggal penerbitan</t>
  </si>
  <si>
    <t xml:space="preserve">Stack Teknologi</t>
  </si>
  <si>
    <t xml:space="preserve">Next.js 14 (App Router) + Tailwind CSS + Vercel</t>
  </si>
  <si>
    <t xml:space="preserve">Total Budget</t>
  </si>
  <si>
    <t xml:space="preserve">Rp 7.000.000</t>
  </si>
  <si>
    <t xml:space="preserve">No</t>
  </si>
  <si>
    <t xml:space="preserve">Uraian Pekerjaan</t>
  </si>
  <si>
    <t xml:space="preserve">Sat</t>
  </si>
  <si>
    <t xml:space="preserve">Vol</t>
  </si>
  <si>
    <t xml:space="preserve">Harga Satuan (Rp)</t>
  </si>
  <si>
    <t xml:space="preserve">Total (Rp)</t>
  </si>
  <si>
    <t xml:space="preserve">Keterangan</t>
  </si>
  <si>
    <t xml:space="preserve">I</t>
  </si>
  <si>
    <t xml:space="preserve">PERENCANAAN &amp; ANALISIS</t>
  </si>
  <si>
    <t xml:space="preserve">1.1</t>
  </si>
  <si>
    <t xml:space="preserve">Konsultasi kebutuhan, brief &amp; riset kompetitor</t>
  </si>
  <si>
    <t xml:space="preserve">Sesi</t>
  </si>
  <si>
    <t xml:space="preserve">Online/offline, rekaman tersedia</t>
  </si>
  <si>
    <t xml:space="preserve">1.2</t>
  </si>
  <si>
    <t xml:space="preserve">Pembuatan sitemap &amp; user flow</t>
  </si>
  <si>
    <t xml:space="preserve">Paket</t>
  </si>
  <si>
    <t xml:space="preserve">Max 10 halaman</t>
  </si>
  <si>
    <t xml:space="preserve">1.3</t>
  </si>
  <si>
    <t xml:space="preserve">Wireframe lo-fi semua halaman (Figma)</t>
  </si>
  <si>
    <t xml:space="preserve">Interaktif, bisa dikomen klien</t>
  </si>
  <si>
    <t xml:space="preserve">1.4</t>
  </si>
  <si>
    <t xml:space="preserve">Moodboard &amp; panduan brand (warna, tipografi)</t>
  </si>
  <si>
    <t xml:space="preserve">Mini style guide</t>
  </si>
  <si>
    <t xml:space="preserve">II</t>
  </si>
  <si>
    <t xml:space="preserve">DESAIN UI/UX</t>
  </si>
  <si>
    <t xml:space="preserve">2.1</t>
  </si>
  <si>
    <t xml:space="preserve">Desain Homepage (Hero, About, Services, CTA, Footer)</t>
  </si>
  <si>
    <t xml:space="preserve">Halaman</t>
  </si>
  <si>
    <t xml:space="preserve">Full responsive, premium layout</t>
  </si>
  <si>
    <t xml:space="preserve">2.2</t>
  </si>
  <si>
    <t xml:space="preserve">Desain halaman About / Profil &amp; Tim</t>
  </si>
  <si>
    <t xml:space="preserve">Termasuk section team</t>
  </si>
  <si>
    <t xml:space="preserve">2.3</t>
  </si>
  <si>
    <t xml:space="preserve">Desain halaman Layanan / Produk (detail per layanan)</t>
  </si>
  <si>
    <t xml:space="preserve">Listing + halaman detail</t>
  </si>
  <si>
    <t xml:space="preserve">2.4</t>
  </si>
  <si>
    <t xml:space="preserve">Desain halaman Portofolio / Case Study</t>
  </si>
  <si>
    <t xml:space="preserve">Grid + halaman detail proyek</t>
  </si>
  <si>
    <t xml:space="preserve">2.5</t>
  </si>
  <si>
    <t xml:space="preserve">Desain halaman Blog (listing + detail artikel)</t>
  </si>
  <si>
    <t xml:space="preserve">Kategori &amp; tag</t>
  </si>
  <si>
    <t xml:space="preserve">2.6</t>
  </si>
  <si>
    <t xml:space="preserve">Desain halaman Kontak &amp; FAQ</t>
  </si>
  <si>
    <t xml:space="preserve">Form, maps, accordion FAQ</t>
  </si>
  <si>
    <t xml:space="preserve">2.7</t>
  </si>
  <si>
    <t xml:space="preserve">Desain versi Mobile (mobile-first review)</t>
  </si>
  <si>
    <t xml:space="preserve">Breakpoint SM, MD, LG, XL</t>
  </si>
  <si>
    <t xml:space="preserve">2.8</t>
  </si>
  <si>
    <t xml:space="preserve">Revisi desain (5 putaran)</t>
  </si>
  <si>
    <t xml:space="preserve">-</t>
  </si>
  <si>
    <t xml:space="preserve">Sudah termasuk harga</t>
  </si>
  <si>
    <t xml:space="preserve">2.9</t>
  </si>
  <si>
    <t xml:space="preserve">Export aset desain (SVG, PNG, design token)</t>
  </si>
  <si>
    <t xml:space="preserve">Siap handoff ke developer</t>
  </si>
  <si>
    <t xml:space="preserve">III</t>
  </si>
  <si>
    <t xml:space="preserve">DEVELOPMENT — NEXT.JS</t>
  </si>
  <si>
    <t xml:space="preserve">3.1</t>
  </si>
  <si>
    <t xml:space="preserve">Setup project Next.js 14 + TypeScript + ESLint + Prettier</t>
  </si>
  <si>
    <t xml:space="preserve">Best practice structure</t>
  </si>
  <si>
    <t xml:space="preserve">3.2</t>
  </si>
  <si>
    <t xml:space="preserve">Konfigurasi Tailwind CSS + design token custom</t>
  </si>
  <si>
    <t xml:space="preserve">Warna, font, spacing dari brand guide</t>
  </si>
  <si>
    <t xml:space="preserve">3.3</t>
  </si>
  <si>
    <t xml:space="preserve">Konversi desain ke komponen React (atomic design)</t>
  </si>
  <si>
    <t xml:space="preserve">Server &amp; Client Components</t>
  </si>
  <si>
    <t xml:space="preserve">3.4</t>
  </si>
  <si>
    <t xml:space="preserve">Implementasi routing, layout &amp; error handling</t>
  </si>
  <si>
    <t xml:space="preserve">layout.tsx, not-found, error boundary</t>
  </si>
  <si>
    <t xml:space="preserve">3.5</t>
  </si>
  <si>
    <t xml:space="preserve">Halaman statis SSG (Home, About, Layanan, Kontak, FAQ)</t>
  </si>
  <si>
    <t xml:space="preserve">Performa tinggi, SEO-ready</t>
  </si>
  <si>
    <t xml:space="preserve">3.6</t>
  </si>
  <si>
    <t xml:space="preserve">Halaman detail layanan &amp; portofolio (dynamic route)</t>
  </si>
  <si>
    <t xml:space="preserve">[slug] dynamic routing</t>
  </si>
  <si>
    <t xml:space="preserve">3.7</t>
  </si>
  <si>
    <t xml:space="preserve">Blog dengan MDX + Contentlayer (CMS ringan)</t>
  </si>
  <si>
    <t xml:space="preserve">Klien bisa tambah artikel sendiri</t>
  </si>
  <si>
    <t xml:space="preserve">3.8</t>
  </si>
  <si>
    <t xml:space="preserve">Form kontak + API Route + email notifikasi (Resend)</t>
  </si>
  <si>
    <t xml:space="preserve">Server-side validation, anti-spam</t>
  </si>
  <si>
    <t xml:space="preserve">3.9</t>
  </si>
  <si>
    <t xml:space="preserve">Integrasi Google Maps embed</t>
  </si>
  <si>
    <t xml:space="preserve">3.10</t>
  </si>
  <si>
    <t xml:space="preserve">Integrasi WhatsApp floating button + custom pesan</t>
  </si>
  <si>
    <t xml:space="preserve">3.11</t>
  </si>
  <si>
    <t xml:space="preserve">Animasi &amp; transisi (Framer Motion)</t>
  </si>
  <si>
    <t xml:space="preserve">Scroll reveal, stagger, page transition</t>
  </si>
  <si>
    <t xml:space="preserve">3.12</t>
  </si>
  <si>
    <t xml:space="preserve">Optimasi gambar otomatis (next/image + WebP)</t>
  </si>
  <si>
    <t xml:space="preserve">Lazy load, blur placeholder</t>
  </si>
  <si>
    <t xml:space="preserve">3.13</t>
  </si>
  <si>
    <t xml:space="preserve">SEO: metadata API, OG image, sitemap, robots, JSON-LD</t>
  </si>
  <si>
    <t xml:space="preserve">Structured data untuk Google</t>
  </si>
  <si>
    <t xml:space="preserve">3.14</t>
  </si>
  <si>
    <t xml:space="preserve">Dark mode support (opsional toggle)</t>
  </si>
  <si>
    <t xml:space="preserve">Tailwind dark: class</t>
  </si>
  <si>
    <t xml:space="preserve">3.15</t>
  </si>
  <si>
    <t xml:space="preserve">Deploy ke Vercel + konfigurasi domain custom + HTTPS</t>
  </si>
  <si>
    <t xml:space="preserve">Preview deploy per branch</t>
  </si>
  <si>
    <t xml:space="preserve">IV</t>
  </si>
  <si>
    <t xml:space="preserve">KONTEN &amp; ASET</t>
  </si>
  <si>
    <t xml:space="preserve">4.1</t>
  </si>
  <si>
    <t xml:space="preserve">Input &amp; formatting konten teks (disediakan klien)</t>
  </si>
  <si>
    <t xml:space="preserve">4.2</t>
  </si>
  <si>
    <t xml:space="preserve">Optimasi &amp; resize foto klien ke WebP</t>
  </si>
  <si>
    <t xml:space="preserve">Max 50 foto</t>
  </si>
  <si>
    <t xml:space="preserve">4.3</t>
  </si>
  <si>
    <t xml:space="preserve">Pemilihan &amp; lisensi foto stok (jika dibutuhkan)</t>
  </si>
  <si>
    <t xml:space="preserve">Sudah termasuk (Unsplash/Pexels free)</t>
  </si>
  <si>
    <t xml:space="preserve">4.4</t>
  </si>
  <si>
    <t xml:space="preserve">Ikon SVG &amp; ilustrasi (library bebas hak cipta)</t>
  </si>
  <si>
    <t xml:space="preserve">Sudah termasuk</t>
  </si>
  <si>
    <t xml:space="preserve">V</t>
  </si>
  <si>
    <t xml:space="preserve">PENGUJIAN &amp; JAMINAN KUALITAS</t>
  </si>
  <si>
    <t xml:space="preserve">5.1</t>
  </si>
  <si>
    <t xml:space="preserve">Testing lintas browser (Chrome, Firefox, Safari, Edge)</t>
  </si>
  <si>
    <t xml:space="preserve">5.2</t>
  </si>
  <si>
    <t xml:space="preserve">Testing lintas perangkat (desktop, tablet, mobile)</t>
  </si>
  <si>
    <t xml:space="preserve">5.3</t>
  </si>
  <si>
    <t xml:space="preserve">Lighthouse audit &amp; optimasi (target skor ≥ 90 semua)</t>
  </si>
  <si>
    <t xml:space="preserve">Performance, SEO, A11y, Best Practice</t>
  </si>
  <si>
    <t xml:space="preserve">5.4</t>
  </si>
  <si>
    <t xml:space="preserve">Perbaikan bug pasca testing</t>
  </si>
  <si>
    <t xml:space="preserve">5.5</t>
  </si>
  <si>
    <t xml:space="preserve">Go-live: submit ke Google Search Console + Bing</t>
  </si>
  <si>
    <t xml:space="preserve">Indexing request</t>
  </si>
  <si>
    <t xml:space="preserve">VI</t>
  </si>
  <si>
    <t xml:space="preserve">PELATIHAN &amp; SERAH TERIMA</t>
  </si>
  <si>
    <t xml:space="preserve">6.1</t>
  </si>
  <si>
    <t xml:space="preserve">Pelatihan pengelolaan konten via MDX (online, rekaman)</t>
  </si>
  <si>
    <t xml:space="preserve">Durasi max 1 jam/sesi</t>
  </si>
  <si>
    <t xml:space="preserve">6.2</t>
  </si>
  <si>
    <t xml:space="preserve">Serah terima source code via GitHub private repo</t>
  </si>
  <si>
    <t xml:space="preserve">6.3</t>
  </si>
  <si>
    <t xml:space="preserve">Dokumentasi teknis lengkap (PDF + README.md)</t>
  </si>
  <si>
    <t xml:space="preserve">Dokumen</t>
  </si>
  <si>
    <t xml:space="preserve">Arsitektur, cara deploy, cara update</t>
  </si>
  <si>
    <t xml:space="preserve">6.4</t>
  </si>
  <si>
    <t xml:space="preserve">Garansi perbaikan bug (60 hari pasca go-live)</t>
  </si>
  <si>
    <t xml:space="preserve">Tidak termasuk fitur baru</t>
  </si>
  <si>
    <t xml:space="preserve">SUBTOTAL</t>
  </si>
  <si>
    <t xml:space="preserve">Diskon Negosiasi (0%)</t>
  </si>
  <si>
    <t xml:space="preserve">TOTAL BIAYA PROYEK</t>
  </si>
  <si>
    <t xml:space="preserve">Terbilang: Tujuh Juta Rupiah</t>
  </si>
  <si>
    <t xml:space="preserve">SYARAT &amp; KETENTUAN</t>
  </si>
  <si>
    <t xml:space="preserve">1.  Pembayaran: 50% DP di muka, 50% setelah review akhir sebelum go-live.</t>
  </si>
  <si>
    <t xml:space="preserve">2.  Source code diserahkan via GitHub private repo setelah pelunasan.</t>
  </si>
  <si>
    <t xml:space="preserve">3.  Revisi desain maksimal 5 putaran; tambahan dikenakan Rp 75.000/putaran.</t>
  </si>
  <si>
    <t xml:space="preserve">4.  Konten teks &amp; foto disediakan klien paling lambat 3 hari setelah DP.</t>
  </si>
  <si>
    <t xml:space="preserve">5.  Estimasi pengerjaan: 21–28 hari kerja setelah DP dan brief lengkap.</t>
  </si>
  <si>
    <t xml:space="preserve">6.  Hosting Vercel tier gratis (bandwidth &amp; serverless function sesuai batas Vercel).</t>
  </si>
  <si>
    <t xml:space="preserve">7.  Domain &amp; perpanjangan adalah tanggung jawab klien.</t>
  </si>
  <si>
    <t xml:space="preserve">8.  Garansi bug 60 hari pasca go-live (tidak termasuk penambahan fitur baru).</t>
  </si>
  <si>
    <t xml:space="preserve">9.  RAB ini berlaku 30 hari sejak tanggal penerbitan.</t>
  </si>
  <si>
    <t xml:space="preserve">Disetujui oleh,</t>
  </si>
  <si>
    <t xml:space="preserve">Dibuat oleh,</t>
  </si>
  <si>
    <t xml:space="preserve">(Nama Klien)</t>
  </si>
  <si>
    <t xml:space="preserve">(Nama Perusahaan Jasa)</t>
  </si>
  <si>
    <t xml:space="preserve">____________________</t>
  </si>
  <si>
    <t xml:space="preserve">Perwakilan Klien</t>
  </si>
  <si>
    <t xml:space="preserve">Account Manager / Developer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</si>
</sst>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</row>
    <row r="5" customFormat="false" ht="19.5" hidden="false" customHeight="true" outlineLevel="0" collapsed="false">
      <c r="B5" s="4" t="s">
        <v>4</v>
      </c>
      <c r="C5" s="5" t="s">
        <v>5</v>
      </c>
      <c r="D5" s="5"/>
      <c r="E5" s="5"/>
      <c r="F5" s="5"/>
      <c r="G5" s="5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</row>
    <row r="7" customFormat="false" ht="19.5" hidden="false" customHeight="true" outlineLevel="0" collapsed="false">
      <c r="B7" s="4" t="s">
        <v>8</v>
      </c>
      <c r="C7" s="5" t="s">
        <v>9</v>
      </c>
      <c r="D7" s="5"/>
      <c r="E7" s="5"/>
      <c r="F7" s="5"/>
      <c r="G7" s="5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</row>
    <row r="9" customFormat="false" ht="19.5" hidden="false" customHeight="true" outlineLevel="0" collapsed="false">
      <c r="B9" s="4" t="s">
        <v>12</v>
      </c>
      <c r="C9" s="5" t="s">
        <v>13</v>
      </c>
      <c r="D9" s="5"/>
      <c r="E9" s="5"/>
      <c r="F9" s="5"/>
      <c r="G9" s="5"/>
    </row>
    <row r="10" customFormat="false" ht="12" hidden="false" customHeight="true" outlineLevel="0" collapsed="false"/>
    <row r="11" customFormat="false" ht="25.5" hidden="false" customHeight="true" outlineLevel="0" collapsed="false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</row>
    <row r="12" customFormat="false" ht="19.5" hidden="false" customHeight="true" outlineLevel="0" collapsed="false">
      <c r="A12" s="7" t="s">
        <v>21</v>
      </c>
      <c r="B12" s="8" t="s">
        <v>22</v>
      </c>
      <c r="C12" s="8"/>
      <c r="D12" s="8"/>
      <c r="E12" s="8"/>
      <c r="F12" s="8"/>
      <c r="G12" s="8"/>
    </row>
    <row r="13" customFormat="false" ht="19.5" hidden="false" customHeight="true" outlineLevel="0" collapsed="false">
      <c r="A13" s="9" t="s">
        <v>23</v>
      </c>
      <c r="B13" s="10" t="s">
        <v>24</v>
      </c>
      <c r="C13" s="9" t="s">
        <v>25</v>
      </c>
      <c r="D13" s="9" t="n">
        <v>2</v>
      </c>
      <c r="E13" s="11" t="n">
        <v>150000</v>
      </c>
      <c r="F13" s="11" t="n">
        <f aca="false">D13*E13</f>
        <v>300000</v>
      </c>
      <c r="G13" s="10" t="s">
        <v>26</v>
      </c>
    </row>
    <row r="14" customFormat="false" ht="19.5" hidden="false" customHeight="true" outlineLevel="0" collapsed="false">
      <c r="A14" s="12" t="s">
        <v>27</v>
      </c>
      <c r="B14" s="13" t="s">
        <v>28</v>
      </c>
      <c r="C14" s="12" t="s">
        <v>29</v>
      </c>
      <c r="D14" s="12" t="n">
        <v>1</v>
      </c>
      <c r="E14" s="14" t="n">
        <v>200000</v>
      </c>
      <c r="F14" s="14" t="n">
        <f aca="false">D14*E14</f>
        <v>200000</v>
      </c>
      <c r="G14" s="13" t="s">
        <v>30</v>
      </c>
    </row>
    <row r="15" customFormat="false" ht="19.5" hidden="false" customHeight="true" outlineLevel="0" collapsed="false">
      <c r="A15" s="9" t="s">
        <v>31</v>
      </c>
      <c r="B15" s="10" t="s">
        <v>32</v>
      </c>
      <c r="C15" s="9" t="s">
        <v>29</v>
      </c>
      <c r="D15" s="9" t="n">
        <v>1</v>
      </c>
      <c r="E15" s="11" t="n">
        <v>300000</v>
      </c>
      <c r="F15" s="11" t="n">
        <f aca="false">D15*E15</f>
        <v>300000</v>
      </c>
      <c r="G15" s="10" t="s">
        <v>33</v>
      </c>
    </row>
    <row r="16" customFormat="false" ht="19.5" hidden="false" customHeight="true" outlineLevel="0" collapsed="false">
      <c r="A16" s="12" t="s">
        <v>34</v>
      </c>
      <c r="B16" s="13" t="s">
        <v>35</v>
      </c>
      <c r="C16" s="12" t="s">
        <v>29</v>
      </c>
      <c r="D16" s="12" t="n">
        <v>1</v>
      </c>
      <c r="E16" s="14" t="n">
        <v>150000</v>
      </c>
      <c r="F16" s="14" t="n">
        <f aca="false">D16*E16</f>
        <v>150000</v>
      </c>
      <c r="G16" s="13" t="s">
        <v>36</v>
      </c>
    </row>
    <row r="17" customFormat="false" ht="19.5" hidden="false" customHeight="true" outlineLevel="0" collapsed="false">
      <c r="A17" s="7" t="s">
        <v>37</v>
      </c>
      <c r="B17" s="8" t="s">
        <v>38</v>
      </c>
      <c r="C17" s="8"/>
      <c r="D17" s="8"/>
      <c r="E17" s="8"/>
      <c r="F17" s="8"/>
      <c r="G17" s="8"/>
    </row>
    <row r="18" customFormat="false" ht="19.5" hidden="false" customHeight="true" outlineLevel="0" collapsed="false">
      <c r="A18" s="12" t="s">
        <v>39</v>
      </c>
      <c r="B18" s="13" t="s">
        <v>40</v>
      </c>
      <c r="C18" s="12" t="s">
        <v>41</v>
      </c>
      <c r="D18" s="12" t="n">
        <v>1</v>
      </c>
      <c r="E18" s="14" t="n">
        <v>500000</v>
      </c>
      <c r="F18" s="14" t="n">
        <f aca="false">D18*E18</f>
        <v>500000</v>
      </c>
      <c r="G18" s="13" t="s">
        <v>42</v>
      </c>
    </row>
    <row r="19" customFormat="false" ht="19.5" hidden="false" customHeight="true" outlineLevel="0" collapsed="false">
      <c r="A19" s="9" t="s">
        <v>43</v>
      </c>
      <c r="B19" s="10" t="s">
        <v>44</v>
      </c>
      <c r="C19" s="9" t="s">
        <v>41</v>
      </c>
      <c r="D19" s="9" t="n">
        <v>1</v>
      </c>
      <c r="E19" s="11" t="n">
        <v>250000</v>
      </c>
      <c r="F19" s="11" t="n">
        <f aca="false">D19*E19</f>
        <v>250000</v>
      </c>
      <c r="G19" s="10" t="s">
        <v>45</v>
      </c>
    </row>
    <row r="20" customFormat="false" ht="19.5" hidden="false" customHeight="true" outlineLevel="0" collapsed="false">
      <c r="A20" s="12" t="s">
        <v>46</v>
      </c>
      <c r="B20" s="13" t="s">
        <v>47</v>
      </c>
      <c r="C20" s="12" t="s">
        <v>41</v>
      </c>
      <c r="D20" s="12" t="n">
        <v>2</v>
      </c>
      <c r="E20" s="14" t="n">
        <v>175000</v>
      </c>
      <c r="F20" s="14" t="n">
        <f aca="false">D20*E20</f>
        <v>350000</v>
      </c>
      <c r="G20" s="13" t="s">
        <v>48</v>
      </c>
    </row>
    <row r="21" customFormat="false" ht="19.5" hidden="false" customHeight="true" outlineLevel="0" collapsed="false">
      <c r="A21" s="9" t="s">
        <v>49</v>
      </c>
      <c r="B21" s="10" t="s">
        <v>50</v>
      </c>
      <c r="C21" s="9" t="s">
        <v>41</v>
      </c>
      <c r="D21" s="9" t="n">
        <v>2</v>
      </c>
      <c r="E21" s="11" t="n">
        <v>175000</v>
      </c>
      <c r="F21" s="11" t="n">
        <f aca="false">D21*E21</f>
        <v>350000</v>
      </c>
      <c r="G21" s="10" t="s">
        <v>51</v>
      </c>
    </row>
    <row r="22" customFormat="false" ht="19.5" hidden="false" customHeight="true" outlineLevel="0" collapsed="false">
      <c r="A22" s="12" t="s">
        <v>52</v>
      </c>
      <c r="B22" s="13" t="s">
        <v>53</v>
      </c>
      <c r="C22" s="12" t="s">
        <v>41</v>
      </c>
      <c r="D22" s="12" t="n">
        <v>2</v>
      </c>
      <c r="E22" s="14" t="n">
        <v>125000</v>
      </c>
      <c r="F22" s="14" t="n">
        <f aca="false">D22*E22</f>
        <v>250000</v>
      </c>
      <c r="G22" s="13" t="s">
        <v>54</v>
      </c>
    </row>
    <row r="23" customFormat="false" ht="19.5" hidden="false" customHeight="true" outlineLevel="0" collapsed="false">
      <c r="A23" s="9" t="s">
        <v>55</v>
      </c>
      <c r="B23" s="10" t="s">
        <v>56</v>
      </c>
      <c r="C23" s="9" t="s">
        <v>41</v>
      </c>
      <c r="D23" s="9" t="n">
        <v>2</v>
      </c>
      <c r="E23" s="11" t="n">
        <v>125000</v>
      </c>
      <c r="F23" s="11" t="n">
        <f aca="false">D23*E23</f>
        <v>250000</v>
      </c>
      <c r="G23" s="10" t="s">
        <v>57</v>
      </c>
    </row>
    <row r="24" customFormat="false" ht="19.5" hidden="false" customHeight="true" outlineLevel="0" collapsed="false">
      <c r="A24" s="12" t="s">
        <v>58</v>
      </c>
      <c r="B24" s="13" t="s">
        <v>59</v>
      </c>
      <c r="C24" s="12" t="s">
        <v>29</v>
      </c>
      <c r="D24" s="12" t="n">
        <v>1</v>
      </c>
      <c r="E24" s="14" t="n">
        <v>150000</v>
      </c>
      <c r="F24" s="14" t="n">
        <f aca="false">D24*E24</f>
        <v>150000</v>
      </c>
      <c r="G24" s="13" t="s">
        <v>60</v>
      </c>
    </row>
    <row r="25" customFormat="false" ht="19.5" hidden="false" customHeight="true" outlineLevel="0" collapsed="false">
      <c r="A25" s="9" t="s">
        <v>61</v>
      </c>
      <c r="B25" s="10" t="s">
        <v>62</v>
      </c>
      <c r="C25" s="9" t="s">
        <v>29</v>
      </c>
      <c r="D25" s="9" t="n">
        <v>1</v>
      </c>
      <c r="E25" s="15" t="s">
        <v>63</v>
      </c>
      <c r="F25" s="15" t="s">
        <v>63</v>
      </c>
      <c r="G25" s="10" t="s">
        <v>64</v>
      </c>
    </row>
    <row r="26" customFormat="false" ht="19.5" hidden="false" customHeight="true" outlineLevel="0" collapsed="false">
      <c r="A26" s="12" t="s">
        <v>65</v>
      </c>
      <c r="B26" s="13" t="s">
        <v>66</v>
      </c>
      <c r="C26" s="12" t="s">
        <v>29</v>
      </c>
      <c r="D26" s="12" t="n">
        <v>1</v>
      </c>
      <c r="E26" s="14" t="s">
        <v>63</v>
      </c>
      <c r="F26" s="14" t="n">
        <v>0</v>
      </c>
      <c r="G26" s="13" t="s">
        <v>67</v>
      </c>
    </row>
    <row r="27" customFormat="false" ht="19.5" hidden="false" customHeight="true" outlineLevel="0" collapsed="false">
      <c r="A27" s="7" t="s">
        <v>68</v>
      </c>
      <c r="B27" s="8" t="s">
        <v>69</v>
      </c>
      <c r="C27" s="8"/>
      <c r="D27" s="8"/>
      <c r="E27" s="8"/>
      <c r="F27" s="8"/>
      <c r="G27" s="8"/>
    </row>
    <row r="28" customFormat="false" ht="19.5" hidden="false" customHeight="true" outlineLevel="0" collapsed="false">
      <c r="A28" s="12" t="s">
        <v>70</v>
      </c>
      <c r="B28" s="13" t="s">
        <v>71</v>
      </c>
      <c r="C28" s="12" t="s">
        <v>29</v>
      </c>
      <c r="D28" s="12" t="n">
        <v>1</v>
      </c>
      <c r="E28" s="14" t="n">
        <v>150000</v>
      </c>
      <c r="F28" s="14" t="n">
        <f aca="false">D28*E28</f>
        <v>150000</v>
      </c>
      <c r="G28" s="13" t="s">
        <v>72</v>
      </c>
    </row>
    <row r="29" customFormat="false" ht="19.5" hidden="false" customHeight="true" outlineLevel="0" collapsed="false">
      <c r="A29" s="9" t="s">
        <v>73</v>
      </c>
      <c r="B29" s="10" t="s">
        <v>74</v>
      </c>
      <c r="C29" s="9" t="s">
        <v>29</v>
      </c>
      <c r="D29" s="9" t="n">
        <v>1</v>
      </c>
      <c r="E29" s="11" t="n">
        <v>150000</v>
      </c>
      <c r="F29" s="11" t="n">
        <f aca="false">D29*E29</f>
        <v>150000</v>
      </c>
      <c r="G29" s="10" t="s">
        <v>75</v>
      </c>
    </row>
    <row r="30" customFormat="false" ht="19.5" hidden="false" customHeight="true" outlineLevel="0" collapsed="false">
      <c r="A30" s="12" t="s">
        <v>76</v>
      </c>
      <c r="B30" s="13" t="s">
        <v>77</v>
      </c>
      <c r="C30" s="12" t="s">
        <v>29</v>
      </c>
      <c r="D30" s="12" t="n">
        <v>1</v>
      </c>
      <c r="E30" s="14" t="n">
        <v>700000</v>
      </c>
      <c r="F30" s="14" t="n">
        <f aca="false">D30*E30</f>
        <v>700000</v>
      </c>
      <c r="G30" s="13" t="s">
        <v>78</v>
      </c>
    </row>
    <row r="31" customFormat="false" ht="19.5" hidden="false" customHeight="true" outlineLevel="0" collapsed="false">
      <c r="A31" s="9" t="s">
        <v>79</v>
      </c>
      <c r="B31" s="10" t="s">
        <v>80</v>
      </c>
      <c r="C31" s="9" t="s">
        <v>29</v>
      </c>
      <c r="D31" s="9" t="n">
        <v>1</v>
      </c>
      <c r="E31" s="11" t="n">
        <v>200000</v>
      </c>
      <c r="F31" s="11" t="n">
        <f aca="false">D31*E31</f>
        <v>200000</v>
      </c>
      <c r="G31" s="10" t="s">
        <v>81</v>
      </c>
    </row>
    <row r="32" customFormat="false" ht="19.5" hidden="false" customHeight="true" outlineLevel="0" collapsed="false">
      <c r="A32" s="12" t="s">
        <v>82</v>
      </c>
      <c r="B32" s="13" t="s">
        <v>83</v>
      </c>
      <c r="C32" s="12" t="s">
        <v>41</v>
      </c>
      <c r="D32" s="12" t="n">
        <v>5</v>
      </c>
      <c r="E32" s="14" t="n">
        <v>60000</v>
      </c>
      <c r="F32" s="14" t="n">
        <f aca="false">D32*E32</f>
        <v>300000</v>
      </c>
      <c r="G32" s="13" t="s">
        <v>84</v>
      </c>
    </row>
    <row r="33" customFormat="false" ht="19.5" hidden="false" customHeight="true" outlineLevel="0" collapsed="false">
      <c r="A33" s="9" t="s">
        <v>85</v>
      </c>
      <c r="B33" s="10" t="s">
        <v>86</v>
      </c>
      <c r="C33" s="9" t="s">
        <v>41</v>
      </c>
      <c r="D33" s="9" t="n">
        <v>4</v>
      </c>
      <c r="E33" s="11" t="n">
        <v>75000</v>
      </c>
      <c r="F33" s="11" t="n">
        <f aca="false">D33*E33</f>
        <v>300000</v>
      </c>
      <c r="G33" s="10" t="s">
        <v>87</v>
      </c>
    </row>
    <row r="34" customFormat="false" ht="19.5" hidden="false" customHeight="true" outlineLevel="0" collapsed="false">
      <c r="A34" s="12" t="s">
        <v>88</v>
      </c>
      <c r="B34" s="13" t="s">
        <v>89</v>
      </c>
      <c r="C34" s="12" t="s">
        <v>29</v>
      </c>
      <c r="D34" s="12" t="n">
        <v>1</v>
      </c>
      <c r="E34" s="14" t="n">
        <v>280000</v>
      </c>
      <c r="F34" s="14" t="n">
        <f aca="false">D34*E34</f>
        <v>280000</v>
      </c>
      <c r="G34" s="13" t="s">
        <v>90</v>
      </c>
    </row>
    <row r="35" customFormat="false" ht="19.5" hidden="false" customHeight="true" outlineLevel="0" collapsed="false">
      <c r="A35" s="9" t="s">
        <v>91</v>
      </c>
      <c r="B35" s="10" t="s">
        <v>92</v>
      </c>
      <c r="C35" s="9" t="s">
        <v>29</v>
      </c>
      <c r="D35" s="9" t="n">
        <v>1</v>
      </c>
      <c r="E35" s="11" t="n">
        <v>200000</v>
      </c>
      <c r="F35" s="11" t="n">
        <f aca="false">D35*E35</f>
        <v>200000</v>
      </c>
      <c r="G35" s="10" t="s">
        <v>93</v>
      </c>
    </row>
    <row r="36" customFormat="false" ht="19.5" hidden="false" customHeight="true" outlineLevel="0" collapsed="false">
      <c r="A36" s="12" t="s">
        <v>94</v>
      </c>
      <c r="B36" s="13" t="s">
        <v>95</v>
      </c>
      <c r="C36" s="12" t="s">
        <v>29</v>
      </c>
      <c r="D36" s="12" t="n">
        <v>1</v>
      </c>
      <c r="E36" s="14" t="n">
        <v>60000</v>
      </c>
      <c r="F36" s="14" t="n">
        <f aca="false">D36*E36</f>
        <v>60000</v>
      </c>
      <c r="G36" s="13"/>
    </row>
    <row r="37" customFormat="false" ht="19.5" hidden="false" customHeight="true" outlineLevel="0" collapsed="false">
      <c r="A37" s="9" t="s">
        <v>96</v>
      </c>
      <c r="B37" s="10" t="s">
        <v>97</v>
      </c>
      <c r="C37" s="9" t="s">
        <v>29</v>
      </c>
      <c r="D37" s="9" t="n">
        <v>1</v>
      </c>
      <c r="E37" s="11" t="n">
        <v>50000</v>
      </c>
      <c r="F37" s="11" t="n">
        <f aca="false">D37*E37</f>
        <v>50000</v>
      </c>
      <c r="G37" s="10"/>
    </row>
    <row r="38" customFormat="false" ht="19.5" hidden="false" customHeight="true" outlineLevel="0" collapsed="false">
      <c r="A38" s="12" t="s">
        <v>98</v>
      </c>
      <c r="B38" s="13" t="s">
        <v>99</v>
      </c>
      <c r="C38" s="12" t="s">
        <v>29</v>
      </c>
      <c r="D38" s="12" t="n">
        <v>1</v>
      </c>
      <c r="E38" s="14" t="n">
        <v>150000</v>
      </c>
      <c r="F38" s="14" t="n">
        <f aca="false">D38*E38</f>
        <v>150000</v>
      </c>
      <c r="G38" s="13" t="s">
        <v>100</v>
      </c>
    </row>
    <row r="39" customFormat="false" ht="19.5" hidden="false" customHeight="true" outlineLevel="0" collapsed="false">
      <c r="A39" s="9" t="s">
        <v>101</v>
      </c>
      <c r="B39" s="10" t="s">
        <v>102</v>
      </c>
      <c r="C39" s="9" t="s">
        <v>29</v>
      </c>
      <c r="D39" s="9" t="n">
        <v>1</v>
      </c>
      <c r="E39" s="11" t="n">
        <v>80000</v>
      </c>
      <c r="F39" s="11" t="n">
        <f aca="false">D39*E39</f>
        <v>80000</v>
      </c>
      <c r="G39" s="10" t="s">
        <v>103</v>
      </c>
    </row>
    <row r="40" customFormat="false" ht="19.5" hidden="false" customHeight="true" outlineLevel="0" collapsed="false">
      <c r="A40" s="12" t="s">
        <v>104</v>
      </c>
      <c r="B40" s="13" t="s">
        <v>105</v>
      </c>
      <c r="C40" s="12" t="s">
        <v>29</v>
      </c>
      <c r="D40" s="12" t="n">
        <v>1</v>
      </c>
      <c r="E40" s="14" t="n">
        <v>200000</v>
      </c>
      <c r="F40" s="14" t="n">
        <f aca="false">D40*E40</f>
        <v>200000</v>
      </c>
      <c r="G40" s="13" t="s">
        <v>106</v>
      </c>
    </row>
    <row r="41" customFormat="false" ht="19.5" hidden="false" customHeight="true" outlineLevel="0" collapsed="false">
      <c r="A41" s="9" t="s">
        <v>107</v>
      </c>
      <c r="B41" s="10" t="s">
        <v>108</v>
      </c>
      <c r="C41" s="9" t="s">
        <v>29</v>
      </c>
      <c r="D41" s="9" t="n">
        <v>1</v>
      </c>
      <c r="E41" s="11" t="n">
        <v>150000</v>
      </c>
      <c r="F41" s="11" t="n">
        <f aca="false">D41*E41</f>
        <v>150000</v>
      </c>
      <c r="G41" s="10" t="s">
        <v>109</v>
      </c>
    </row>
    <row r="42" customFormat="false" ht="19.5" hidden="false" customHeight="true" outlineLevel="0" collapsed="false">
      <c r="A42" s="12" t="s">
        <v>110</v>
      </c>
      <c r="B42" s="13" t="s">
        <v>111</v>
      </c>
      <c r="C42" s="12" t="s">
        <v>29</v>
      </c>
      <c r="D42" s="12" t="n">
        <v>1</v>
      </c>
      <c r="E42" s="14" t="n">
        <v>100000</v>
      </c>
      <c r="F42" s="14" t="n">
        <f aca="false">D42*E42</f>
        <v>100000</v>
      </c>
      <c r="G42" s="13" t="s">
        <v>112</v>
      </c>
    </row>
    <row r="43" customFormat="false" ht="19.5" hidden="false" customHeight="true" outlineLevel="0" collapsed="false">
      <c r="A43" s="7" t="s">
        <v>113</v>
      </c>
      <c r="B43" s="8" t="s">
        <v>114</v>
      </c>
      <c r="C43" s="8"/>
      <c r="D43" s="8"/>
      <c r="E43" s="8"/>
      <c r="F43" s="8"/>
      <c r="G43" s="8"/>
    </row>
    <row r="44" customFormat="false" ht="19.5" hidden="false" customHeight="true" outlineLevel="0" collapsed="false">
      <c r="A44" s="12" t="s">
        <v>115</v>
      </c>
      <c r="B44" s="13" t="s">
        <v>116</v>
      </c>
      <c r="C44" s="12" t="s">
        <v>29</v>
      </c>
      <c r="D44" s="12" t="n">
        <v>1</v>
      </c>
      <c r="E44" s="14" t="n">
        <v>150000</v>
      </c>
      <c r="F44" s="14" t="n">
        <f aca="false">D44*E44</f>
        <v>150000</v>
      </c>
      <c r="G44" s="13" t="s">
        <v>30</v>
      </c>
    </row>
    <row r="45" customFormat="false" ht="19.5" hidden="false" customHeight="true" outlineLevel="0" collapsed="false">
      <c r="A45" s="9" t="s">
        <v>117</v>
      </c>
      <c r="B45" s="10" t="s">
        <v>118</v>
      </c>
      <c r="C45" s="9" t="s">
        <v>29</v>
      </c>
      <c r="D45" s="9" t="n">
        <v>1</v>
      </c>
      <c r="E45" s="11" t="n">
        <v>100000</v>
      </c>
      <c r="F45" s="11" t="n">
        <f aca="false">D45*E45</f>
        <v>100000</v>
      </c>
      <c r="G45" s="10" t="s">
        <v>119</v>
      </c>
    </row>
    <row r="46" customFormat="false" ht="19.5" hidden="false" customHeight="true" outlineLevel="0" collapsed="false">
      <c r="A46" s="12" t="s">
        <v>120</v>
      </c>
      <c r="B46" s="13" t="s">
        <v>121</v>
      </c>
      <c r="C46" s="12" t="s">
        <v>29</v>
      </c>
      <c r="D46" s="12" t="n">
        <v>1</v>
      </c>
      <c r="E46" s="14" t="s">
        <v>63</v>
      </c>
      <c r="F46" s="14" t="n">
        <v>0</v>
      </c>
      <c r="G46" s="13" t="s">
        <v>122</v>
      </c>
    </row>
    <row r="47" customFormat="false" ht="19.5" hidden="false" customHeight="true" outlineLevel="0" collapsed="false">
      <c r="A47" s="9" t="s">
        <v>123</v>
      </c>
      <c r="B47" s="10" t="s">
        <v>124</v>
      </c>
      <c r="C47" s="9" t="s">
        <v>29</v>
      </c>
      <c r="D47" s="9" t="n">
        <v>1</v>
      </c>
      <c r="E47" s="15" t="s">
        <v>63</v>
      </c>
      <c r="F47" s="15" t="s">
        <v>63</v>
      </c>
      <c r="G47" s="10" t="s">
        <v>125</v>
      </c>
    </row>
    <row r="48" customFormat="false" ht="19.5" hidden="false" customHeight="true" outlineLevel="0" collapsed="false">
      <c r="A48" s="7" t="s">
        <v>126</v>
      </c>
      <c r="B48" s="8" t="s">
        <v>127</v>
      </c>
      <c r="C48" s="8"/>
      <c r="D48" s="8"/>
      <c r="E48" s="8"/>
      <c r="F48" s="8"/>
      <c r="G48" s="8"/>
    </row>
    <row r="49" customFormat="false" ht="19.5" hidden="false" customHeight="true" outlineLevel="0" collapsed="false">
      <c r="A49" s="9" t="s">
        <v>128</v>
      </c>
      <c r="B49" s="10" t="s">
        <v>129</v>
      </c>
      <c r="C49" s="9" t="s">
        <v>29</v>
      </c>
      <c r="D49" s="9" t="n">
        <v>1</v>
      </c>
      <c r="E49" s="11" t="n">
        <v>100000</v>
      </c>
      <c r="F49" s="11" t="n">
        <f aca="false">D49*E49</f>
        <v>100000</v>
      </c>
      <c r="G49" s="10"/>
    </row>
    <row r="50" customFormat="false" ht="19.5" hidden="false" customHeight="true" outlineLevel="0" collapsed="false">
      <c r="A50" s="12" t="s">
        <v>130</v>
      </c>
      <c r="B50" s="13" t="s">
        <v>131</v>
      </c>
      <c r="C50" s="12" t="s">
        <v>29</v>
      </c>
      <c r="D50" s="12" t="n">
        <v>1</v>
      </c>
      <c r="E50" s="14" t="n">
        <v>100000</v>
      </c>
      <c r="F50" s="14" t="n">
        <f aca="false">D50*E50</f>
        <v>100000</v>
      </c>
      <c r="G50" s="13"/>
    </row>
    <row r="51" customFormat="false" ht="19.5" hidden="false" customHeight="true" outlineLevel="0" collapsed="false">
      <c r="A51" s="9" t="s">
        <v>132</v>
      </c>
      <c r="B51" s="10" t="s">
        <v>133</v>
      </c>
      <c r="C51" s="9" t="s">
        <v>29</v>
      </c>
      <c r="D51" s="9" t="n">
        <v>1</v>
      </c>
      <c r="E51" s="11" t="n">
        <v>80000</v>
      </c>
      <c r="F51" s="11" t="n">
        <f aca="false">D51*E51</f>
        <v>80000</v>
      </c>
      <c r="G51" s="10" t="s">
        <v>134</v>
      </c>
    </row>
    <row r="52" customFormat="false" ht="19.5" hidden="false" customHeight="true" outlineLevel="0" collapsed="false">
      <c r="A52" s="12" t="s">
        <v>135</v>
      </c>
      <c r="B52" s="13" t="s">
        <v>136</v>
      </c>
      <c r="C52" s="12" t="s">
        <v>29</v>
      </c>
      <c r="D52" s="12" t="n">
        <v>1</v>
      </c>
      <c r="E52" s="16" t="s">
        <v>63</v>
      </c>
      <c r="F52" s="16" t="s">
        <v>63</v>
      </c>
      <c r="G52" s="13" t="s">
        <v>125</v>
      </c>
    </row>
    <row r="53" customFormat="false" ht="19.5" hidden="false" customHeight="true" outlineLevel="0" collapsed="false">
      <c r="A53" s="9" t="s">
        <v>137</v>
      </c>
      <c r="B53" s="10" t="s">
        <v>138</v>
      </c>
      <c r="C53" s="9" t="s">
        <v>29</v>
      </c>
      <c r="D53" s="9" t="n">
        <v>1</v>
      </c>
      <c r="E53" s="11" t="n">
        <v>50000</v>
      </c>
      <c r="F53" s="11" t="n">
        <f aca="false">D53*E53</f>
        <v>50000</v>
      </c>
      <c r="G53" s="10" t="s">
        <v>139</v>
      </c>
    </row>
    <row r="54" customFormat="false" ht="19.5" hidden="false" customHeight="true" outlineLevel="0" collapsed="false">
      <c r="A54" s="7" t="s">
        <v>140</v>
      </c>
      <c r="B54" s="8" t="s">
        <v>141</v>
      </c>
      <c r="C54" s="8"/>
      <c r="D54" s="8"/>
      <c r="E54" s="8"/>
      <c r="F54" s="8"/>
      <c r="G54" s="8"/>
    </row>
    <row r="55" customFormat="false" ht="19.5" hidden="false" customHeight="true" outlineLevel="0" collapsed="false">
      <c r="A55" s="9" t="s">
        <v>142</v>
      </c>
      <c r="B55" s="10" t="s">
        <v>143</v>
      </c>
      <c r="C55" s="9" t="s">
        <v>25</v>
      </c>
      <c r="D55" s="9" t="n">
        <v>2</v>
      </c>
      <c r="E55" s="11" t="n">
        <v>90000</v>
      </c>
      <c r="F55" s="11" t="n">
        <f aca="false">D55*E55</f>
        <v>180000</v>
      </c>
      <c r="G55" s="10" t="s">
        <v>144</v>
      </c>
    </row>
    <row r="56" customFormat="false" ht="19.5" hidden="false" customHeight="true" outlineLevel="0" collapsed="false">
      <c r="A56" s="12" t="s">
        <v>145</v>
      </c>
      <c r="B56" s="13" t="s">
        <v>146</v>
      </c>
      <c r="C56" s="12" t="s">
        <v>29</v>
      </c>
      <c r="D56" s="12" t="n">
        <v>1</v>
      </c>
      <c r="E56" s="16" t="s">
        <v>63</v>
      </c>
      <c r="F56" s="16" t="s">
        <v>63</v>
      </c>
      <c r="G56" s="13" t="s">
        <v>125</v>
      </c>
    </row>
    <row r="57" customFormat="false" ht="19.5" hidden="false" customHeight="true" outlineLevel="0" collapsed="false">
      <c r="A57" s="9" t="s">
        <v>147</v>
      </c>
      <c r="B57" s="10" t="s">
        <v>148</v>
      </c>
      <c r="C57" s="9" t="s">
        <v>149</v>
      </c>
      <c r="D57" s="9" t="n">
        <v>1</v>
      </c>
      <c r="E57" s="11" t="n">
        <v>120000</v>
      </c>
      <c r="F57" s="11" t="n">
        <f aca="false">D57*E57</f>
        <v>120000</v>
      </c>
      <c r="G57" s="10" t="s">
        <v>150</v>
      </c>
    </row>
    <row r="58" customFormat="false" ht="19.5" hidden="false" customHeight="true" outlineLevel="0" collapsed="false">
      <c r="A58" s="12" t="s">
        <v>151</v>
      </c>
      <c r="B58" s="13" t="s">
        <v>152</v>
      </c>
      <c r="C58" s="12" t="s">
        <v>29</v>
      </c>
      <c r="D58" s="12" t="n">
        <v>1</v>
      </c>
      <c r="E58" s="16" t="s">
        <v>63</v>
      </c>
      <c r="F58" s="16" t="s">
        <v>63</v>
      </c>
      <c r="G58" s="13" t="s">
        <v>153</v>
      </c>
    </row>
    <row r="60" customFormat="false" ht="24" hidden="false" customHeight="true" outlineLevel="0" collapsed="false">
      <c r="A60" s="17" t="s">
        <v>154</v>
      </c>
      <c r="B60" s="17"/>
      <c r="C60" s="17"/>
      <c r="D60" s="17"/>
      <c r="E60" s="17"/>
      <c r="F60" s="18" t="n">
        <f aca="false">F13+F14+F15+F16+F18+F19+F20+F21+F22+F23+F24+F26+F28+F29+F30+F31+F32+F33+F34+F35+F36+F37+F38+F39+F40+F41+F42+F44+F45+F46+F49+F50+F51+F53+F55+F57</f>
        <v>7000000</v>
      </c>
      <c r="G60" s="19"/>
    </row>
    <row r="61" customFormat="false" ht="21.75" hidden="false" customHeight="true" outlineLevel="0" collapsed="false">
      <c r="A61" s="20" t="s">
        <v>155</v>
      </c>
      <c r="B61" s="20"/>
      <c r="C61" s="20"/>
      <c r="D61" s="20"/>
      <c r="E61" s="20"/>
      <c r="F61" s="21" t="n">
        <v>0</v>
      </c>
      <c r="G61" s="22"/>
    </row>
    <row r="62" customFormat="false" ht="27.75" hidden="false" customHeight="true" outlineLevel="0" collapsed="false">
      <c r="A62" s="23" t="s">
        <v>156</v>
      </c>
      <c r="B62" s="23"/>
      <c r="C62" s="23"/>
      <c r="D62" s="23"/>
      <c r="E62" s="23"/>
      <c r="F62" s="24" t="n">
        <f aca="false">F60-F61</f>
        <v>7000000</v>
      </c>
      <c r="G62" s="25"/>
    </row>
    <row r="64" customFormat="false" ht="21.75" hidden="false" customHeight="true" outlineLevel="0" collapsed="false">
      <c r="A64" s="26" t="s">
        <v>157</v>
      </c>
      <c r="B64" s="26"/>
      <c r="C64" s="26"/>
      <c r="D64" s="26"/>
      <c r="E64" s="26"/>
      <c r="F64" s="26"/>
      <c r="G64" s="26"/>
    </row>
    <row r="66" customFormat="false" ht="21.75" hidden="false" customHeight="true" outlineLevel="0" collapsed="false">
      <c r="A66" s="27" t="s">
        <v>158</v>
      </c>
      <c r="B66" s="27"/>
      <c r="C66" s="27"/>
      <c r="D66" s="27"/>
      <c r="E66" s="27"/>
      <c r="F66" s="27"/>
      <c r="G66" s="27"/>
    </row>
    <row r="67" customFormat="false" ht="19.5" hidden="false" customHeight="true" outlineLevel="0" collapsed="false">
      <c r="A67" s="10" t="s">
        <v>159</v>
      </c>
      <c r="B67" s="10"/>
      <c r="C67" s="10"/>
      <c r="D67" s="10"/>
      <c r="E67" s="10"/>
      <c r="F67" s="10"/>
      <c r="G67" s="10"/>
    </row>
    <row r="68" customFormat="false" ht="19.5" hidden="false" customHeight="true" outlineLevel="0" collapsed="false">
      <c r="A68" s="10" t="s">
        <v>160</v>
      </c>
      <c r="B68" s="10"/>
      <c r="C68" s="10"/>
      <c r="D68" s="10"/>
      <c r="E68" s="10"/>
      <c r="F68" s="10"/>
      <c r="G68" s="10"/>
    </row>
    <row r="69" customFormat="false" ht="19.5" hidden="false" customHeight="true" outlineLevel="0" collapsed="false">
      <c r="A69" s="10" t="s">
        <v>161</v>
      </c>
      <c r="B69" s="10"/>
      <c r="C69" s="10"/>
      <c r="D69" s="10"/>
      <c r="E69" s="10"/>
      <c r="F69" s="10"/>
      <c r="G69" s="10"/>
    </row>
    <row r="70" customFormat="false" ht="19.5" hidden="false" customHeight="true" outlineLevel="0" collapsed="false">
      <c r="A70" s="10" t="s">
        <v>162</v>
      </c>
      <c r="B70" s="10"/>
      <c r="C70" s="10"/>
      <c r="D70" s="10"/>
      <c r="E70" s="10"/>
      <c r="F70" s="10"/>
      <c r="G70" s="10"/>
    </row>
    <row r="71" customFormat="false" ht="19.5" hidden="false" customHeight="true" outlineLevel="0" collapsed="false">
      <c r="A71" s="10" t="s">
        <v>163</v>
      </c>
      <c r="B71" s="10"/>
      <c r="C71" s="10"/>
      <c r="D71" s="10"/>
      <c r="E71" s="10"/>
      <c r="F71" s="10"/>
      <c r="G71" s="10"/>
    </row>
    <row r="72" customFormat="false" ht="19.5" hidden="false" customHeight="true" outlineLevel="0" collapsed="false">
      <c r="A72" s="10" t="s">
        <v>164</v>
      </c>
      <c r="B72" s="10"/>
      <c r="C72" s="10"/>
      <c r="D72" s="10"/>
      <c r="E72" s="10"/>
      <c r="F72" s="10"/>
      <c r="G72" s="10"/>
    </row>
    <row r="73" customFormat="false" ht="19.5" hidden="false" customHeight="true" outlineLevel="0" collapsed="false">
      <c r="A73" s="10" t="s">
        <v>165</v>
      </c>
      <c r="B73" s="10"/>
      <c r="C73" s="10"/>
      <c r="D73" s="10"/>
      <c r="E73" s="10"/>
      <c r="F73" s="10"/>
      <c r="G73" s="10"/>
    </row>
    <row r="74" customFormat="false" ht="19.5" hidden="false" customHeight="true" outlineLevel="0" collapsed="false">
      <c r="A74" s="10" t="s">
        <v>166</v>
      </c>
      <c r="B74" s="10"/>
      <c r="C74" s="10"/>
      <c r="D74" s="10"/>
      <c r="E74" s="10"/>
      <c r="F74" s="10"/>
      <c r="G74" s="10"/>
    </row>
    <row r="75" customFormat="false" ht="19.5" hidden="false" customHeight="true" outlineLevel="0" collapsed="false">
      <c r="A75" s="10" t="s">
        <v>167</v>
      </c>
      <c r="B75" s="10"/>
      <c r="C75" s="10"/>
      <c r="D75" s="10"/>
      <c r="E75" s="10"/>
      <c r="F75" s="10"/>
      <c r="G75" s="10"/>
    </row>
    <row r="77" customFormat="false" ht="19.5" hidden="false" customHeight="true" outlineLevel="0" collapsed="false">
      <c r="B77" s="28" t="s">
        <v>168</v>
      </c>
      <c r="C77" s="28"/>
      <c r="E77" s="28" t="s">
        <v>169</v>
      </c>
      <c r="F77" s="28"/>
      <c r="G77" s="28"/>
    </row>
    <row r="78" customFormat="false" ht="18" hidden="false" customHeight="true" outlineLevel="0" collapsed="false">
      <c r="B78" s="29" t="s">
        <v>170</v>
      </c>
      <c r="C78" s="29"/>
      <c r="E78" s="29" t="s">
        <v>171</v>
      </c>
      <c r="F78" s="29"/>
      <c r="G78" s="29"/>
    </row>
    <row r="82" customFormat="false" ht="18" hidden="false" customHeight="true" outlineLevel="0" collapsed="false">
      <c r="B82" s="30" t="s">
        <v>172</v>
      </c>
      <c r="C82" s="30"/>
      <c r="E82" s="30" t="s">
        <v>172</v>
      </c>
      <c r="F82" s="30"/>
      <c r="G82" s="30"/>
    </row>
    <row r="83" customFormat="false" ht="15" hidden="false" customHeight="true" outlineLevel="0" collapsed="false">
      <c r="B83" s="31" t="s">
        <v>173</v>
      </c>
      <c r="C83" s="31"/>
      <c r="E83" s="31" t="s">
        <v>174</v>
      </c>
      <c r="F83" s="31"/>
      <c r="G83" s="31"/>
    </row>
  </sheetData>
  <mergeCells count="36">
    <mergeCell ref="A1:G1"/>
    <mergeCell ref="A2:G2"/>
    <mergeCell ref="C4:G4"/>
    <mergeCell ref="C5:G5"/>
    <mergeCell ref="C6:G6"/>
    <mergeCell ref="C7:G7"/>
    <mergeCell ref="C8:G8"/>
    <mergeCell ref="C9:G9"/>
    <mergeCell ref="B12:G12"/>
    <mergeCell ref="B17:G17"/>
    <mergeCell ref="B27:G27"/>
    <mergeCell ref="B43:G43"/>
    <mergeCell ref="B48:G48"/>
    <mergeCell ref="B54:G54"/>
    <mergeCell ref="A60:E60"/>
    <mergeCell ref="A61:E61"/>
    <mergeCell ref="A62:E62"/>
    <mergeCell ref="A64:G64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B77:C77"/>
    <mergeCell ref="E77:G77"/>
    <mergeCell ref="B78:C78"/>
    <mergeCell ref="E78:G78"/>
    <mergeCell ref="B82:C82"/>
    <mergeCell ref="E82:G82"/>
    <mergeCell ref="B83:C83"/>
    <mergeCell ref="E83:G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2026-04-25T06:57:28Z</dcterms:created>
  <dc:creator>openpyxl</dc:creator>
  <dc:description/>
  <dc:language>en-US</dc:language>
  <cp:lastModifiedBy/>
  <dcterms:modified xsi:type="dcterms:W3CDTF">2026-04-25T06:58:43Z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